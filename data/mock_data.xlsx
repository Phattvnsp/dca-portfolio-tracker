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eip/Documents/other/"/>
    </mc:Choice>
  </mc:AlternateContent>
  <xr:revisionPtr revIDLastSave="0" documentId="13_ncr:1_{884C7A26-C415-4B44-BA0C-4530A33703C2}" xr6:coauthVersionLast="47" xr6:coauthVersionMax="47" xr10:uidLastSave="{00000000-0000-0000-0000-000000000000}"/>
  <bookViews>
    <workbookView xWindow="0" yWindow="680" windowWidth="29400" windowHeight="16560" xr2:uid="{19857492-1404-3D4E-8E8B-75FA135B4BC9}"/>
  </bookViews>
  <sheets>
    <sheet name="Main" sheetId="1" r:id="rId1"/>
    <sheet name="Search" sheetId="3" r:id="rId2"/>
    <sheet name="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A32" i="1"/>
  <c r="B31" i="1"/>
  <c r="B30" i="1"/>
  <c r="B29" i="1"/>
  <c r="B28" i="1"/>
  <c r="A29" i="1"/>
  <c r="A30" i="1"/>
  <c r="A31" i="1"/>
  <c r="A28" i="1"/>
  <c r="H26" i="1"/>
  <c r="H27" i="1"/>
  <c r="B27" i="1"/>
  <c r="A27" i="1"/>
  <c r="B26" i="1"/>
  <c r="B25" i="1"/>
  <c r="A26" i="1"/>
  <c r="H24" i="1"/>
  <c r="B24" i="1"/>
  <c r="B23" i="1"/>
  <c r="B22" i="1"/>
  <c r="A24" i="1"/>
  <c r="A25" i="1"/>
  <c r="H23" i="1"/>
  <c r="A23" i="1"/>
  <c r="A22" i="1"/>
  <c r="B21" i="1"/>
  <c r="A21" i="1"/>
  <c r="A20" i="1"/>
  <c r="B20" i="1"/>
  <c r="B19" i="1"/>
  <c r="H19" i="1"/>
  <c r="B18" i="1"/>
  <c r="A19" i="1"/>
  <c r="A18" i="1"/>
  <c r="B17" i="1"/>
  <c r="B16" i="1"/>
  <c r="B15" i="1"/>
  <c r="B14" i="1"/>
  <c r="H13" i="1"/>
  <c r="B13" i="1"/>
  <c r="H12" i="1"/>
  <c r="B12" i="1"/>
  <c r="A12" i="1"/>
  <c r="A13" i="1"/>
  <c r="A14" i="1"/>
  <c r="A15" i="1"/>
  <c r="A16" i="1"/>
  <c r="A17" i="1"/>
  <c r="B11" i="1"/>
  <c r="A11" i="1"/>
  <c r="M4" i="1"/>
  <c r="L4" i="1"/>
  <c r="H10" i="1"/>
  <c r="B10" i="1"/>
  <c r="A10" i="1"/>
  <c r="B9" i="1"/>
  <c r="B8" i="1"/>
  <c r="A8" i="1"/>
  <c r="A9" i="1"/>
  <c r="B7" i="1"/>
  <c r="A7" i="1"/>
  <c r="B6" i="1"/>
  <c r="A6" i="1"/>
  <c r="B5" i="1"/>
  <c r="B4" i="1"/>
  <c r="A5" i="1"/>
  <c r="A4" i="1"/>
  <c r="B3" i="1"/>
  <c r="A3" i="1"/>
  <c r="B2" i="1"/>
  <c r="A2" i="1"/>
  <c r="A3" i="3" a="1"/>
  <c r="A3" i="3" s="1"/>
  <c r="M2" i="3" l="1"/>
  <c r="M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<sst xmlns="http://schemas.openxmlformats.org/spreadsheetml/2006/main" count="121" uniqueCount="28">
  <si>
    <t>วันที่</t>
  </si>
  <si>
    <t>ชื่อย่อหุ้น</t>
  </si>
  <si>
    <t>ซื้อ / ขาย</t>
  </si>
  <si>
    <t>เวลา</t>
  </si>
  <si>
    <t>ราคาที่คาด</t>
  </si>
  <si>
    <t>ราคาที่ได้</t>
  </si>
  <si>
    <t>กำไร / ขาดทุน</t>
  </si>
  <si>
    <t>GOOGL</t>
  </si>
  <si>
    <t>ซื้อ</t>
  </si>
  <si>
    <t>ขาย</t>
  </si>
  <si>
    <t>-</t>
  </si>
  <si>
    <t>NVDA</t>
  </si>
  <si>
    <t>จำนวนหุ้น</t>
  </si>
  <si>
    <t>PLTR</t>
  </si>
  <si>
    <t>ค่าอื่น ๆ</t>
  </si>
  <si>
    <t>TSM</t>
  </si>
  <si>
    <t>AVGO</t>
  </si>
  <si>
    <t>วันที่ (ป-ด-ว)</t>
  </si>
  <si>
    <t>ASTS</t>
  </si>
  <si>
    <t>มูลค่าหุ้นที่ซื้อ</t>
  </si>
  <si>
    <t>มูลค่ารวม :</t>
  </si>
  <si>
    <t>มูลค่ารวม</t>
  </si>
  <si>
    <t>มูลค่ารวมที่ซื้อ</t>
  </si>
  <si>
    <t>หมายเหตุ</t>
  </si>
  <si>
    <t>ราคาคาดรวม:</t>
  </si>
  <si>
    <t>MU</t>
  </si>
  <si>
    <t>ประมาณ -3 THB</t>
  </si>
  <si>
    <t>2.04USD ลง GOOGL ต่อ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</si>
</sst>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]hh:mm;@" x16r2:formatCode16="[$-en-TH,1]hh:mm;@"/>
    <numFmt numFmtId="165" formatCode="&quot;THB&quot;#,##0.00"/>
    <numFmt numFmtId="166" formatCode="yyyy\-mm\-dd;@"/>
  </numFmts>
  <fonts count="3">
    <font>
      <sz val="12"/>
      <color theme="1"/>
      <name val="THSarabunPSK"/>
      <family val="2"/>
    </font>
    <font>
      <b/>
      <sz val="12"/>
      <color theme="1"/>
      <name val="THSarabunPSK"/>
    </font>
    <font>
      <sz val="9"/>
      <color theme="1"/>
      <name val="TH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79BFFF"/>
        <bgColor indexed="64"/>
      </patternFill>
    </fill>
    <fill>
      <patternFill patternType="solid">
        <fgColor rgb="FFFFE87F"/>
        <bgColor indexed="64"/>
      </patternFill>
    </fill>
    <fill>
      <patternFill patternType="solid">
        <fgColor rgb="FF84ECD2"/>
        <bgColor indexed="64"/>
      </patternFill>
    </fill>
    <fill>
      <patternFill patternType="solid">
        <fgColor rgb="FFFFC8E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5" fontId="0" fillId="3" borderId="3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5" fontId="0" fillId="5" borderId="3" xfId="0" applyNumberFormat="1" applyFill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8E4"/>
      <color rgb="FF84ECD2"/>
      <color rgb="FF79BFFF"/>
      <color rgb="FFFFE8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F23E-5FA9-884E-9A43-2B422971DE50}">
  <dimension ref="A1:M32"/>
  <sheetViews>
    <sheetView tabSelected="1" topLeftCell="A20" zoomScale="150" zoomScaleNormal="150" workbookViewId="0">
      <selection activeCell="L9" sqref="L9"/>
    </sheetView>
  </sheetViews>
  <sheetFormatPr baseColWidth="10" defaultColWidth="17" defaultRowHeight="19"/>
  <cols>
    <col min="1" max="1" width="17" style="6"/>
    <col min="2" max="2" width="17" style="3"/>
    <col min="3" max="4" width="17" style="1"/>
    <col min="5" max="6" width="17" style="4"/>
    <col min="7" max="7" width="17" style="1"/>
    <col min="8" max="9" width="17" style="4"/>
    <col min="10" max="16384" width="17" style="1"/>
  </cols>
  <sheetData>
    <row r="1" spans="1:13">
      <c r="A1" s="2" t="s">
        <v>17</v>
      </c>
      <c r="B1" s="2" t="s">
        <v>3</v>
      </c>
      <c r="C1" s="2" t="s">
        <v>1</v>
      </c>
      <c r="D1" s="2" t="s">
        <v>2</v>
      </c>
      <c r="E1" s="2" t="s">
        <v>4</v>
      </c>
      <c r="F1" s="2" t="s">
        <v>19</v>
      </c>
      <c r="G1" s="2" t="s">
        <v>12</v>
      </c>
      <c r="H1" s="2" t="s">
        <v>14</v>
      </c>
      <c r="I1" s="2" t="s">
        <v>6</v>
      </c>
      <c r="J1" s="2" t="s">
        <v>23</v>
      </c>
    </row>
    <row r="2" spans="1:13">
      <c r="A2" s="6">
        <f>DATE(2568,10,7)</f>
        <v>244264</v>
      </c>
      <c r="B2" s="3">
        <f>TIME(20,48,0)</f>
        <v>0.8666666666666667</v>
      </c>
      <c r="C2" s="1" t="s">
        <v>7</v>
      </c>
      <c r="D2" s="1" t="s">
        <v>8</v>
      </c>
      <c r="E2" s="4">
        <v>450</v>
      </c>
      <c r="F2" s="4">
        <v>449.93</v>
      </c>
      <c r="G2" s="1">
        <v>5.5667500000000002E-2</v>
      </c>
      <c r="H2" s="4">
        <v>0</v>
      </c>
      <c r="I2" s="4">
        <v>0</v>
      </c>
      <c r="J2" s="1" t="s">
        <v>10</v>
      </c>
    </row>
    <row r="3" spans="1:13">
      <c r="A3" s="6">
        <f>DATE(2568,10,7)</f>
        <v>244264</v>
      </c>
      <c r="B3" s="3">
        <f>TIME(20,54,0)</f>
        <v>0.87083333333333335</v>
      </c>
      <c r="C3" s="1" t="s">
        <v>11</v>
      </c>
      <c r="D3" s="1" t="s">
        <v>8</v>
      </c>
      <c r="E3" s="4">
        <v>750</v>
      </c>
      <c r="F3" s="4">
        <v>749.9</v>
      </c>
      <c r="G3" s="1">
        <v>0.1222713</v>
      </c>
      <c r="H3" s="4">
        <v>0</v>
      </c>
      <c r="I3" s="4">
        <v>0</v>
      </c>
      <c r="J3" s="1" t="s">
        <v>10</v>
      </c>
      <c r="L3" s="10" t="s">
        <v>21</v>
      </c>
      <c r="M3" s="10" t="s">
        <v>22</v>
      </c>
    </row>
    <row r="4" spans="1:13">
      <c r="A4" s="6">
        <f>DATE(2568,10,7)</f>
        <v>244264</v>
      </c>
      <c r="B4" s="3">
        <f>TIME(20,55,)</f>
        <v>0.87152777777777779</v>
      </c>
      <c r="C4" s="1" t="s">
        <v>13</v>
      </c>
      <c r="D4" s="1" t="s">
        <v>8</v>
      </c>
      <c r="E4" s="4">
        <v>150</v>
      </c>
      <c r="F4" s="4">
        <v>149.91</v>
      </c>
      <c r="G4" s="1">
        <v>2.48799E-2</v>
      </c>
      <c r="H4" s="4">
        <v>0</v>
      </c>
      <c r="I4" s="4">
        <v>0</v>
      </c>
      <c r="J4" s="1" t="s">
        <v>10</v>
      </c>
      <c r="L4" s="11">
        <f>SUM(E2:E1000)</f>
        <v>8496.7799999999988</v>
      </c>
      <c r="M4" s="11">
        <f>SUM(F2:F1000)</f>
        <v>8487.7999999999975</v>
      </c>
    </row>
    <row r="5" spans="1:13">
      <c r="A5" s="6">
        <f>DATE(2568,10,7)</f>
        <v>244264</v>
      </c>
      <c r="B5" s="3">
        <f>TIME(20,56,)</f>
        <v>0.87222222222222223</v>
      </c>
      <c r="C5" s="1" t="s">
        <v>15</v>
      </c>
      <c r="D5" s="1" t="s">
        <v>8</v>
      </c>
      <c r="E5" s="4">
        <v>150</v>
      </c>
      <c r="F5" s="4">
        <v>149.91</v>
      </c>
      <c r="G5" s="1">
        <v>1.51428E-2</v>
      </c>
      <c r="H5" s="4">
        <v>0</v>
      </c>
      <c r="I5" s="4">
        <v>0</v>
      </c>
      <c r="J5" s="1" t="s">
        <v>10</v>
      </c>
    </row>
    <row r="6" spans="1:13">
      <c r="A6" s="6">
        <f>DATE(2568,10,10)</f>
        <v>244267</v>
      </c>
      <c r="B6" s="3">
        <f>TIME(20,34,)</f>
        <v>0.8569444444444444</v>
      </c>
      <c r="C6" s="1" t="s">
        <v>16</v>
      </c>
      <c r="D6" s="1" t="s">
        <v>8</v>
      </c>
      <c r="E6" s="4">
        <v>300</v>
      </c>
      <c r="F6" s="4">
        <v>299.7</v>
      </c>
      <c r="G6" s="1">
        <v>2.6538900000000001E-2</v>
      </c>
      <c r="H6" s="4">
        <v>0</v>
      </c>
      <c r="I6" s="4">
        <v>0</v>
      </c>
      <c r="J6" s="1" t="s">
        <v>10</v>
      </c>
    </row>
    <row r="7" spans="1:13">
      <c r="A7" s="6">
        <f>DATE(2568,10,11)</f>
        <v>244268</v>
      </c>
      <c r="B7" s="3">
        <f>TIME(0,19,)</f>
        <v>1.3194444444444444E-2</v>
      </c>
      <c r="C7" s="1" t="s">
        <v>16</v>
      </c>
      <c r="D7" s="1" t="s">
        <v>8</v>
      </c>
      <c r="E7" s="4">
        <v>110</v>
      </c>
      <c r="F7" s="4">
        <v>109.88</v>
      </c>
      <c r="G7" s="1">
        <v>1.0109399999999999E-2</v>
      </c>
      <c r="H7" s="4">
        <v>0</v>
      </c>
      <c r="I7" s="4">
        <v>0</v>
      </c>
      <c r="J7" s="1" t="s">
        <v>10</v>
      </c>
    </row>
    <row r="8" spans="1:13">
      <c r="A8" s="6">
        <f t="shared" ref="A8:A9" si="0">DATE(2568,10,11)</f>
        <v>244268</v>
      </c>
      <c r="B8" s="3">
        <f>TIME(0,20,)</f>
        <v>1.3888888888888888E-2</v>
      </c>
      <c r="C8" s="1" t="s">
        <v>7</v>
      </c>
      <c r="D8" s="1" t="s">
        <v>8</v>
      </c>
      <c r="E8" s="4">
        <v>60</v>
      </c>
      <c r="F8" s="4">
        <v>59.7</v>
      </c>
      <c r="G8" s="1">
        <v>7.6651000000000002E-3</v>
      </c>
      <c r="H8" s="4">
        <v>0</v>
      </c>
      <c r="I8" s="4">
        <v>0</v>
      </c>
      <c r="J8" s="1" t="s">
        <v>10</v>
      </c>
    </row>
    <row r="9" spans="1:13">
      <c r="A9" s="6">
        <f t="shared" si="0"/>
        <v>244268</v>
      </c>
      <c r="B9" s="3">
        <f>TIME(0,22,)</f>
        <v>1.5277777777777777E-2</v>
      </c>
      <c r="C9" s="1" t="s">
        <v>15</v>
      </c>
      <c r="D9" s="1" t="s">
        <v>8</v>
      </c>
      <c r="E9" s="4">
        <v>60</v>
      </c>
      <c r="F9" s="4">
        <v>59.71</v>
      </c>
      <c r="G9" s="1">
        <v>6.3746000000000002E-3</v>
      </c>
      <c r="H9" s="4">
        <v>0</v>
      </c>
      <c r="I9" s="4">
        <v>0</v>
      </c>
      <c r="J9" s="1" t="s">
        <v>10</v>
      </c>
    </row>
    <row r="10" spans="1:13">
      <c r="A10" s="6">
        <f>DATE(2568,10,15)</f>
        <v>244272</v>
      </c>
      <c r="B10" s="3">
        <f>TIME(20,31,)</f>
        <v>0.85486111111111107</v>
      </c>
      <c r="C10" s="1" t="s">
        <v>18</v>
      </c>
      <c r="D10" s="1" t="s">
        <v>8</v>
      </c>
      <c r="E10" s="4">
        <v>70</v>
      </c>
      <c r="F10" s="4">
        <v>69.63</v>
      </c>
      <c r="G10" s="1">
        <v>2.14956E-2</v>
      </c>
      <c r="H10" s="4">
        <f>SUM(0.3,0.02)</f>
        <v>0.32</v>
      </c>
      <c r="I10" s="4">
        <v>0</v>
      </c>
      <c r="J10" s="1" t="s">
        <v>10</v>
      </c>
    </row>
    <row r="11" spans="1:13">
      <c r="A11" s="6">
        <f>DATE(2568,11,6)</f>
        <v>244294</v>
      </c>
      <c r="B11" s="3">
        <f>TIME(22,38,)</f>
        <v>0.94305555555555554</v>
      </c>
      <c r="C11" s="1" t="s">
        <v>11</v>
      </c>
      <c r="D11" s="1" t="s">
        <v>8</v>
      </c>
      <c r="E11" s="4">
        <v>500</v>
      </c>
      <c r="F11" s="4">
        <v>499.51</v>
      </c>
      <c r="G11" s="1">
        <v>8.04449E-2</v>
      </c>
      <c r="H11" s="4">
        <v>0</v>
      </c>
      <c r="I11" s="4">
        <v>0</v>
      </c>
      <c r="J11" s="1" t="s">
        <v>10</v>
      </c>
    </row>
    <row r="12" spans="1:13">
      <c r="A12" s="6">
        <f t="shared" ref="A12:A17" si="1">DATE(2568,11,6)</f>
        <v>244294</v>
      </c>
      <c r="B12" s="3">
        <f>TIME(22,39,)</f>
        <v>0.94374999999999998</v>
      </c>
      <c r="C12" s="1" t="s">
        <v>7</v>
      </c>
      <c r="D12" s="1" t="s">
        <v>8</v>
      </c>
      <c r="E12" s="4">
        <v>500</v>
      </c>
      <c r="F12" s="4">
        <v>499.01</v>
      </c>
      <c r="G12" s="1">
        <v>5.4184200000000002E-2</v>
      </c>
      <c r="H12" s="4">
        <f>SUM(0.65,0.04)</f>
        <v>0.69000000000000006</v>
      </c>
      <c r="I12" s="4">
        <v>0</v>
      </c>
      <c r="J12" s="1" t="s">
        <v>10</v>
      </c>
    </row>
    <row r="13" spans="1:13">
      <c r="A13" s="6">
        <f t="shared" si="1"/>
        <v>244294</v>
      </c>
      <c r="B13" s="3">
        <f>TIME(22,41,)</f>
        <v>0.94513888888888886</v>
      </c>
      <c r="C13" s="1" t="s">
        <v>16</v>
      </c>
      <c r="D13" s="1" t="s">
        <v>8</v>
      </c>
      <c r="E13" s="4">
        <v>300</v>
      </c>
      <c r="F13" s="4">
        <v>299.60000000000002</v>
      </c>
      <c r="G13" s="1">
        <v>2.5879800000000001E-2</v>
      </c>
      <c r="H13" s="4">
        <f>SUM(0.3,0.02)</f>
        <v>0.32</v>
      </c>
      <c r="I13" s="4">
        <v>0</v>
      </c>
      <c r="J13" s="1" t="s">
        <v>10</v>
      </c>
    </row>
    <row r="14" spans="1:13">
      <c r="A14" s="6">
        <f t="shared" si="1"/>
        <v>244294</v>
      </c>
      <c r="B14" s="3">
        <f>TIME(22,42,)</f>
        <v>0.9458333333333333</v>
      </c>
      <c r="C14" s="1" t="s">
        <v>13</v>
      </c>
      <c r="D14" s="1" t="s">
        <v>8</v>
      </c>
      <c r="E14" s="4">
        <v>100</v>
      </c>
      <c r="F14" s="4">
        <v>99.54</v>
      </c>
      <c r="G14" s="1">
        <v>1.6959800000000001E-2</v>
      </c>
      <c r="H14" s="4">
        <v>0.32</v>
      </c>
      <c r="I14" s="4">
        <v>0</v>
      </c>
      <c r="J14" s="1" t="s">
        <v>10</v>
      </c>
    </row>
    <row r="15" spans="1:13">
      <c r="A15" s="6">
        <f t="shared" si="1"/>
        <v>244294</v>
      </c>
      <c r="B15" s="3">
        <f>TIME(22,50,)</f>
        <v>0.95138888888888884</v>
      </c>
      <c r="C15" s="1" t="s">
        <v>15</v>
      </c>
      <c r="D15" s="1" t="s">
        <v>8</v>
      </c>
      <c r="E15" s="4">
        <v>300</v>
      </c>
      <c r="F15" s="4">
        <v>299.51</v>
      </c>
      <c r="G15" s="1">
        <v>3.1865200000000003E-2</v>
      </c>
      <c r="H15" s="4">
        <v>0.32</v>
      </c>
      <c r="I15" s="4">
        <v>0</v>
      </c>
      <c r="J15" s="1" t="s">
        <v>10</v>
      </c>
    </row>
    <row r="16" spans="1:13">
      <c r="A16" s="6">
        <f t="shared" si="1"/>
        <v>244294</v>
      </c>
      <c r="B16" s="3">
        <f>TIME(22,50,)</f>
        <v>0.95138888888888884</v>
      </c>
      <c r="C16" s="1" t="s">
        <v>11</v>
      </c>
      <c r="D16" s="1" t="s">
        <v>8</v>
      </c>
      <c r="E16" s="4">
        <v>150</v>
      </c>
      <c r="F16" s="4">
        <v>149.59</v>
      </c>
      <c r="G16" s="1">
        <v>2.4146399999999998E-2</v>
      </c>
      <c r="H16" s="4">
        <v>0.32</v>
      </c>
      <c r="I16" s="4">
        <v>0</v>
      </c>
      <c r="J16" s="1" t="s">
        <v>10</v>
      </c>
    </row>
    <row r="17" spans="1:10">
      <c r="A17" s="6">
        <f t="shared" si="1"/>
        <v>244294</v>
      </c>
      <c r="B17" s="3">
        <f>TIME(22,50,)</f>
        <v>0.95138888888888884</v>
      </c>
      <c r="C17" s="1" t="s">
        <v>16</v>
      </c>
      <c r="D17" s="1" t="s">
        <v>8</v>
      </c>
      <c r="E17" s="4">
        <v>150</v>
      </c>
      <c r="F17" s="4">
        <v>149.59</v>
      </c>
      <c r="G17" s="1">
        <v>1.29704E-2</v>
      </c>
      <c r="H17" s="4">
        <v>0.32</v>
      </c>
      <c r="I17" s="4">
        <v>0</v>
      </c>
      <c r="J17" s="1" t="s">
        <v>10</v>
      </c>
    </row>
    <row r="18" spans="1:10">
      <c r="A18" s="6">
        <f>DATE(2568,12,2)</f>
        <v>244320</v>
      </c>
      <c r="B18" s="3">
        <f>TIME(23,40,0)</f>
        <v>0.98611111111111116</v>
      </c>
      <c r="C18" s="1" t="s">
        <v>11</v>
      </c>
      <c r="D18" s="1" t="s">
        <v>8</v>
      </c>
      <c r="E18" s="4">
        <v>1200</v>
      </c>
      <c r="F18" s="4">
        <v>1199.94</v>
      </c>
      <c r="G18" s="1">
        <v>0.20595669999999999</v>
      </c>
      <c r="H18" s="4">
        <v>0</v>
      </c>
      <c r="I18" s="4">
        <v>0</v>
      </c>
      <c r="J18" s="1" t="s">
        <v>10</v>
      </c>
    </row>
    <row r="19" spans="1:10">
      <c r="A19" s="6">
        <f t="shared" ref="A19:A20" si="2">DATE(2568,12,2)</f>
        <v>244320</v>
      </c>
      <c r="B19" s="3">
        <f>TIME(23,40,0)</f>
        <v>0.98611111111111116</v>
      </c>
      <c r="C19" s="1" t="s">
        <v>7</v>
      </c>
      <c r="D19" s="1" t="s">
        <v>8</v>
      </c>
      <c r="E19" s="4">
        <v>400</v>
      </c>
      <c r="F19" s="4">
        <v>399.3</v>
      </c>
      <c r="G19" s="1">
        <v>3.9376399999999999E-2</v>
      </c>
      <c r="H19" s="4">
        <f>SUM(0.64,0.04)</f>
        <v>0.68</v>
      </c>
      <c r="I19" s="4">
        <v>0</v>
      </c>
      <c r="J19" s="1" t="s">
        <v>10</v>
      </c>
    </row>
    <row r="20" spans="1:10">
      <c r="A20" s="6">
        <f t="shared" si="2"/>
        <v>244320</v>
      </c>
      <c r="B20" s="3">
        <f>TIME(23,41,0)</f>
        <v>0.9868055555555556</v>
      </c>
      <c r="C20" s="1" t="s">
        <v>16</v>
      </c>
      <c r="D20" s="1" t="s">
        <v>8</v>
      </c>
      <c r="E20" s="4">
        <v>200</v>
      </c>
      <c r="F20" s="4">
        <v>199.45</v>
      </c>
      <c r="G20" s="1">
        <v>1.61385E-2</v>
      </c>
      <c r="H20" s="4">
        <v>0.32</v>
      </c>
      <c r="I20" s="4">
        <v>0</v>
      </c>
      <c r="J20" s="1" t="s">
        <v>10</v>
      </c>
    </row>
    <row r="21" spans="1:10">
      <c r="A21" s="6">
        <f>DATE(2568,12,3)</f>
        <v>244321</v>
      </c>
      <c r="B21" s="3">
        <f>TIME(0,11,0)</f>
        <v>7.6388888888888886E-3</v>
      </c>
      <c r="C21" s="1" t="s">
        <v>11</v>
      </c>
      <c r="D21" s="1" t="s">
        <v>8</v>
      </c>
      <c r="E21" s="4">
        <v>200</v>
      </c>
      <c r="F21" s="4">
        <v>199.58</v>
      </c>
      <c r="G21" s="1">
        <v>3.4171399999999998E-2</v>
      </c>
      <c r="H21" s="4">
        <v>0.32</v>
      </c>
      <c r="I21" s="4">
        <v>0</v>
      </c>
      <c r="J21" s="1" t="s">
        <v>10</v>
      </c>
    </row>
    <row r="22" spans="1:10">
      <c r="A22" s="6">
        <f>DATE(2569,1,12)</f>
        <v>244361</v>
      </c>
      <c r="B22" s="3">
        <f>TIME(23,30,0)</f>
        <v>0.97916666666666663</v>
      </c>
      <c r="C22" s="1" t="s">
        <v>25</v>
      </c>
      <c r="D22" s="1" t="s">
        <v>8</v>
      </c>
      <c r="E22" s="4">
        <v>200</v>
      </c>
      <c r="F22" s="4">
        <v>199.94</v>
      </c>
      <c r="G22" s="1">
        <v>1.85465E-2</v>
      </c>
      <c r="H22" s="4">
        <v>0</v>
      </c>
      <c r="I22" s="4">
        <v>0</v>
      </c>
      <c r="J22" s="1" t="s">
        <v>10</v>
      </c>
    </row>
    <row r="23" spans="1:10">
      <c r="A23" s="6">
        <f>DATE(2569,1,12)</f>
        <v>244361</v>
      </c>
      <c r="B23" s="3">
        <f>TIME(23,30,0)</f>
        <v>0.97916666666666663</v>
      </c>
      <c r="C23" s="1" t="s">
        <v>11</v>
      </c>
      <c r="D23" s="1" t="s">
        <v>8</v>
      </c>
      <c r="E23" s="4">
        <v>500</v>
      </c>
      <c r="F23" s="4">
        <v>498.76</v>
      </c>
      <c r="G23" s="1">
        <v>8.6042099999999996E-2</v>
      </c>
      <c r="H23" s="4">
        <f>SUM(0.94,0.06)</f>
        <v>1</v>
      </c>
      <c r="I23" s="4">
        <v>0</v>
      </c>
      <c r="J23" s="1" t="s">
        <v>10</v>
      </c>
    </row>
    <row r="24" spans="1:10">
      <c r="A24" s="6">
        <f t="shared" ref="A24:A31" si="3">DATE(2569,1,12)</f>
        <v>244361</v>
      </c>
      <c r="B24" s="3">
        <f>TIME(23,31,0)</f>
        <v>0.97986111111111107</v>
      </c>
      <c r="C24" s="1" t="s">
        <v>7</v>
      </c>
      <c r="D24" s="1" t="s">
        <v>8</v>
      </c>
      <c r="E24" s="4">
        <v>300</v>
      </c>
      <c r="F24" s="4">
        <v>299.13</v>
      </c>
      <c r="G24" s="1">
        <v>2.9008099999999998E-2</v>
      </c>
      <c r="H24" s="4">
        <f>SUM(0.63,0.04)</f>
        <v>0.67</v>
      </c>
      <c r="I24" s="4">
        <v>0</v>
      </c>
      <c r="J24" s="1" t="s">
        <v>10</v>
      </c>
    </row>
    <row r="25" spans="1:10">
      <c r="A25" s="6">
        <f t="shared" si="3"/>
        <v>244361</v>
      </c>
      <c r="B25" s="3">
        <f>TIME(23,31,0)</f>
        <v>0.97986111111111107</v>
      </c>
      <c r="C25" s="1" t="s">
        <v>16</v>
      </c>
      <c r="D25" s="1" t="s">
        <v>8</v>
      </c>
      <c r="E25" s="4">
        <v>200</v>
      </c>
      <c r="F25" s="4">
        <v>199.63</v>
      </c>
      <c r="G25" s="1">
        <v>1.8253800000000001E-2</v>
      </c>
      <c r="H25" s="4">
        <v>0.31</v>
      </c>
      <c r="I25" s="4">
        <v>0</v>
      </c>
      <c r="J25" s="1" t="s">
        <v>10</v>
      </c>
    </row>
    <row r="26" spans="1:10">
      <c r="A26" s="6">
        <f t="shared" si="3"/>
        <v>244361</v>
      </c>
      <c r="B26" s="3">
        <f>TIME(23,37,0)</f>
        <v>0.98402777777777772</v>
      </c>
      <c r="C26" s="1" t="s">
        <v>18</v>
      </c>
      <c r="D26" s="1" t="s">
        <v>9</v>
      </c>
      <c r="E26" s="4">
        <v>-70</v>
      </c>
      <c r="F26" s="4">
        <v>-66.78</v>
      </c>
      <c r="G26" s="1">
        <v>2.14956E-2</v>
      </c>
      <c r="H26" s="4">
        <f>SUM(0.29,0.02)</f>
        <v>0.31</v>
      </c>
      <c r="I26" s="14" t="s">
        <v>26</v>
      </c>
      <c r="J26" s="15" t="s">
        <v>27</v>
      </c>
    </row>
    <row r="27" spans="1:10">
      <c r="A27" s="6">
        <f t="shared" si="3"/>
        <v>244361</v>
      </c>
      <c r="B27" s="3">
        <f>TIME(23,40,0)</f>
        <v>0.98611111111111116</v>
      </c>
      <c r="C27" s="1" t="s">
        <v>7</v>
      </c>
      <c r="D27" s="1" t="s">
        <v>8</v>
      </c>
      <c r="E27" s="4">
        <v>66.78</v>
      </c>
      <c r="F27" s="4">
        <v>66.78</v>
      </c>
      <c r="G27" s="1">
        <v>6.4795E-3</v>
      </c>
      <c r="H27" s="4">
        <f>SUM(0.29,0.02)</f>
        <v>0.31</v>
      </c>
      <c r="I27" s="4">
        <v>0</v>
      </c>
      <c r="J27" s="1" t="s">
        <v>10</v>
      </c>
    </row>
    <row r="28" spans="1:10">
      <c r="A28" s="6">
        <f>DATE(2569,  4, 8)</f>
        <v>244447</v>
      </c>
      <c r="B28" s="3">
        <f>TIME(23,14,0)</f>
        <v>0.96805555555555556</v>
      </c>
      <c r="C28" s="1" t="s">
        <v>11</v>
      </c>
      <c r="D28" s="1" t="s">
        <v>8</v>
      </c>
      <c r="E28" s="4">
        <v>350</v>
      </c>
      <c r="F28" s="4">
        <v>349.79</v>
      </c>
      <c r="G28" s="1">
        <v>5.9898300000000002E-2</v>
      </c>
      <c r="H28" s="4">
        <v>0</v>
      </c>
      <c r="I28" s="4">
        <v>0</v>
      </c>
      <c r="J28" s="1" t="s">
        <v>10</v>
      </c>
    </row>
    <row r="29" spans="1:10">
      <c r="A29" s="6">
        <f t="shared" ref="A29:A32" si="4">DATE(2569,  4, 8)</f>
        <v>244447</v>
      </c>
      <c r="B29" s="3">
        <f>TIME(23,15,0)</f>
        <v>0.96875</v>
      </c>
      <c r="C29" s="1" t="s">
        <v>16</v>
      </c>
      <c r="D29" s="1" t="s">
        <v>8</v>
      </c>
      <c r="E29" s="4">
        <v>300</v>
      </c>
      <c r="F29" s="4">
        <v>299.36</v>
      </c>
      <c r="G29" s="1">
        <v>2.6764300000000001E-2</v>
      </c>
      <c r="H29" s="4">
        <v>0.32</v>
      </c>
      <c r="I29" s="4">
        <v>0</v>
      </c>
      <c r="J29" s="1" t="s">
        <v>10</v>
      </c>
    </row>
    <row r="30" spans="1:10">
      <c r="A30" s="6">
        <f t="shared" si="4"/>
        <v>244447</v>
      </c>
      <c r="B30" s="3">
        <f t="shared" ref="B30:B31" si="5">TIME(23,15,0)</f>
        <v>0.96875</v>
      </c>
      <c r="C30" s="1" t="s">
        <v>25</v>
      </c>
      <c r="D30" s="1" t="s">
        <v>8</v>
      </c>
      <c r="E30" s="4">
        <v>150</v>
      </c>
      <c r="F30" s="4">
        <v>149.36000000000001</v>
      </c>
      <c r="G30" s="1">
        <v>1.1461600000000001E-2</v>
      </c>
      <c r="H30" s="4">
        <v>0.32</v>
      </c>
      <c r="I30" s="4">
        <v>0</v>
      </c>
      <c r="J30" s="1" t="s">
        <v>10</v>
      </c>
    </row>
    <row r="31" spans="1:10">
      <c r="A31" s="6">
        <f t="shared" si="4"/>
        <v>244447</v>
      </c>
      <c r="B31" s="3">
        <f>TIME(23,16,0)</f>
        <v>0.96944444444444444</v>
      </c>
      <c r="C31" s="1" t="s">
        <v>15</v>
      </c>
      <c r="D31" s="1" t="s">
        <v>8</v>
      </c>
      <c r="E31" s="4">
        <v>200</v>
      </c>
      <c r="F31" s="4">
        <v>199.47</v>
      </c>
      <c r="G31" s="1">
        <v>1.70107E-2</v>
      </c>
      <c r="H31" s="4">
        <v>0.32</v>
      </c>
      <c r="I31" s="4">
        <v>0</v>
      </c>
      <c r="J31" s="1" t="s">
        <v>10</v>
      </c>
    </row>
    <row r="32" spans="1:10">
      <c r="A32" s="6">
        <f t="shared" si="4"/>
        <v>244447</v>
      </c>
      <c r="B32" s="3">
        <f>TIME(23,16,0)</f>
        <v>0.96944444444444444</v>
      </c>
      <c r="C32" s="1" t="s">
        <v>7</v>
      </c>
      <c r="D32" s="1" t="s">
        <v>8</v>
      </c>
      <c r="E32" s="4">
        <v>200</v>
      </c>
      <c r="F32" s="4">
        <v>199.47</v>
      </c>
      <c r="G32" s="1">
        <v>1.9510199999999998E-2</v>
      </c>
      <c r="H32" s="4">
        <v>0.32</v>
      </c>
      <c r="I32" s="4">
        <v>0</v>
      </c>
      <c r="J32" s="1" t="s">
        <v>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28D0E7-FAB5-3D4F-B79D-0313011FB2EB}">
          <x14:formula1>
            <xm:f>Data!$A$1:$A$2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92D7-E7C0-674F-9B21-703C07E7AE0A}">
  <dimension ref="A1:M4"/>
  <sheetViews>
    <sheetView zoomScale="185" workbookViewId="0"/>
  </sheetViews>
  <sheetFormatPr baseColWidth="10" defaultColWidth="13.25" defaultRowHeight="19"/>
  <cols>
    <col min="1" max="1" width="13.25" style="6"/>
    <col min="2" max="2" width="13.25" style="3"/>
    <col min="3" max="4" width="13.25" style="1"/>
    <col min="5" max="6" width="13.25" style="4"/>
    <col min="7" max="7" width="13.25" style="1"/>
    <col min="8" max="8" width="13.25" style="4"/>
    <col min="9" max="16384" width="13.25" style="1"/>
  </cols>
  <sheetData>
    <row r="1" spans="1:13">
      <c r="A1" s="5" t="s">
        <v>25</v>
      </c>
      <c r="B1" s="1"/>
      <c r="E1" s="1"/>
      <c r="F1" s="1"/>
      <c r="H1" s="1"/>
    </row>
    <row r="2" spans="1:13">
      <c r="A2" s="7" t="s">
        <v>0</v>
      </c>
      <c r="B2" s="7" t="s">
        <v>3</v>
      </c>
      <c r="C2" s="7" t="s">
        <v>1</v>
      </c>
      <c r="D2" s="7" t="s">
        <v>2</v>
      </c>
      <c r="E2" s="7" t="s">
        <v>4</v>
      </c>
      <c r="F2" s="7" t="s">
        <v>5</v>
      </c>
      <c r="G2" s="7" t="s">
        <v>12</v>
      </c>
      <c r="H2" s="7" t="s">
        <v>14</v>
      </c>
      <c r="I2" s="7" t="s">
        <v>6</v>
      </c>
      <c r="J2" s="7" t="s">
        <v>23</v>
      </c>
      <c r="L2" s="8" t="s">
        <v>20</v>
      </c>
      <c r="M2" s="9">
        <f>SUM(F3:F1000)</f>
        <v>349.3</v>
      </c>
    </row>
    <row r="3" spans="1:13">
      <c r="A3" s="6" cm="1">
        <f t="array" ref="A3:J4">_xlfn._xlws.FILTER(Main!A2:J10000, Main!C2:C10000 = Search!A1, "No matches found")</f>
        <v>244361</v>
      </c>
      <c r="B3" s="3">
        <v>0.97916666666666663</v>
      </c>
      <c r="C3" s="1" t="str">
        <v>MU</v>
      </c>
      <c r="D3" s="1" t="str">
        <v>ซื้อ</v>
      </c>
      <c r="E3" s="4">
        <v>200</v>
      </c>
      <c r="F3" s="4">
        <v>199.94</v>
      </c>
      <c r="G3" s="1">
        <v>1.85465E-2</v>
      </c>
      <c r="H3" s="4">
        <v>0</v>
      </c>
      <c r="I3" s="1">
        <v>0</v>
      </c>
      <c r="J3" s="1" t="str">
        <v>-</v>
      </c>
      <c r="L3" s="12" t="s">
        <v>24</v>
      </c>
      <c r="M3" s="13">
        <f>SUM(E3:E1000)</f>
        <v>350</v>
      </c>
    </row>
    <row r="4" spans="1:13">
      <c r="A4" s="6">
        <v>244447</v>
      </c>
      <c r="B4" s="3">
        <v>0.96875</v>
      </c>
      <c r="C4" s="1" t="str">
        <v>MU</v>
      </c>
      <c r="D4" s="1" t="str">
        <v>ซื้อ</v>
      </c>
      <c r="E4" s="4">
        <v>150</v>
      </c>
      <c r="F4" s="4">
        <v>149.36000000000001</v>
      </c>
      <c r="G4" s="1">
        <v>1.1461600000000001E-2</v>
      </c>
      <c r="H4" s="4">
        <v>0.32</v>
      </c>
      <c r="I4" s="1">
        <v>0</v>
      </c>
      <c r="J4" s="1" t="str">
        <v>-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8954A6-04D2-8047-9E51-1F9A9172F8CC}">
          <x14:formula1>
            <xm:f>Main!$C$2:$C$1000</xm:f>
          </x14:formula1>
          <xm:sqref>A1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C549-C1D7-314C-96CE-8CB20401B8AF}">
  <dimension ref="A1:A2"/>
  <sheetViews>
    <sheetView zoomScale="125" workbookViewId="0">
      <selection activeCell="C1" sqref="C1"/>
    </sheetView>
  </sheetViews>
  <sheetFormatPr baseColWidth="10" defaultRowHeight="19"/>
  <sheetData>
    <row r="1" spans="1:1">
      <c r="A1" s="1" t="s">
        <v>8</v>
      </c>
    </row>
    <row r="2" spans="1:1">
      <c r="A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Search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Phattharaphon Aimchai</dc:creator>
  <cp:lastModifiedBy>Phattharaphon Aimchai</cp:lastModifiedBy>
  <dcterms:created xsi:type="dcterms:W3CDTF">2025-10-12T11:43:25Z</dcterms:created>
  <dcterms:modified xsi:type="dcterms:W3CDTF">2026-04-08T16:27:09Z</dcterms:modified>
</cp:coreProperties>
</file>